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en\Desktop\ProyectoFinal\"/>
    </mc:Choice>
  </mc:AlternateContent>
  <xr:revisionPtr revIDLastSave="0" documentId="13_ncr:1_{E75B5ECD-9C24-462A-95ED-D788B231146C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ciones" sheetId="2" r:id="rId1"/>
    <sheet name="Gantt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3" i="1" l="1"/>
  <c r="G9" i="1"/>
  <c r="K12" i="1"/>
  <c r="L12" i="1" s="1"/>
  <c r="L11" i="1"/>
  <c r="K11" i="1"/>
  <c r="K10" i="1"/>
  <c r="L10" i="1" s="1"/>
  <c r="K9" i="1"/>
  <c r="L9" i="1" s="1"/>
  <c r="K8" i="1"/>
  <c r="L8" i="1" s="1"/>
  <c r="H8" i="1"/>
  <c r="H9" i="1" l="1"/>
  <c r="K26" i="1"/>
  <c r="L26" i="1" s="1"/>
  <c r="K13" i="1"/>
  <c r="G10" i="1" l="1"/>
  <c r="H10" i="1" s="1"/>
  <c r="G11" i="1" s="1"/>
  <c r="H11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7" i="1"/>
  <c r="L27" i="1" s="1"/>
  <c r="L13" i="1"/>
  <c r="G12" i="1" l="1"/>
  <c r="H12" i="1" s="1"/>
  <c r="G13" i="1" l="1"/>
  <c r="H13" i="1" s="1"/>
  <c r="G14" i="1" s="1"/>
  <c r="H14" i="1" s="1"/>
  <c r="G15" i="1" s="1"/>
  <c r="H15" i="1" s="1"/>
  <c r="G16" i="1" l="1"/>
  <c r="H16" i="1" s="1"/>
  <c r="G17" i="1" l="1"/>
  <c r="H17" i="1" s="1"/>
  <c r="G18" i="1" l="1"/>
  <c r="H18" i="1" s="1"/>
  <c r="G19" i="1" l="1"/>
  <c r="H19" i="1" s="1"/>
  <c r="G20" i="1" l="1"/>
  <c r="H20" i="1" s="1"/>
  <c r="G21" i="1" l="1"/>
  <c r="H21" i="1" s="1"/>
  <c r="G22" i="1" l="1"/>
  <c r="H22" i="1" s="1"/>
  <c r="H23" i="1" l="1"/>
  <c r="G24" i="1" s="1"/>
  <c r="H24" i="1" l="1"/>
  <c r="G25" i="1" l="1"/>
  <c r="H25" i="1" s="1"/>
  <c r="G26" i="1" s="1"/>
  <c r="H26" i="1" s="1"/>
  <c r="G27" i="1" s="1"/>
  <c r="H27" i="1" l="1"/>
</calcChain>
</file>

<file path=xl/sharedStrings.xml><?xml version="1.0" encoding="utf-8"?>
<sst xmlns="http://schemas.openxmlformats.org/spreadsheetml/2006/main" count="28" uniqueCount="28">
  <si>
    <t>Fecha de Inicio</t>
  </si>
  <si>
    <t>Fecha de Finalización</t>
  </si>
  <si>
    <t>Duración</t>
  </si>
  <si>
    <t>Progreso</t>
  </si>
  <si>
    <t>Días completados</t>
  </si>
  <si>
    <t>Días para finalizar</t>
  </si>
  <si>
    <t>Escala de proyecto de tiempo ( GANTT )</t>
  </si>
  <si>
    <t xml:space="preserve">Etapa </t>
  </si>
  <si>
    <t>Fase de Análisis</t>
  </si>
  <si>
    <t>Fase de Diseño</t>
  </si>
  <si>
    <t>Casos de Uso</t>
  </si>
  <si>
    <t>Diseño de arquitectura</t>
  </si>
  <si>
    <t>Modelo Entidad/Relación</t>
  </si>
  <si>
    <t>Interfaz gráfica</t>
  </si>
  <si>
    <t xml:space="preserve">Diagramas de clases </t>
  </si>
  <si>
    <t>Fase de implementación</t>
  </si>
  <si>
    <t xml:space="preserve">Diagramas de actividad </t>
  </si>
  <si>
    <t>Código Fuente comentado</t>
  </si>
  <si>
    <t xml:space="preserve">Memoria Técnica </t>
  </si>
  <si>
    <t>Fase de Prueba</t>
  </si>
  <si>
    <t xml:space="preserve">Plan de Prueba </t>
  </si>
  <si>
    <t>Selección de casos de prueba</t>
  </si>
  <si>
    <t xml:space="preserve">Registros de resultados </t>
  </si>
  <si>
    <t>6) Medidas de prevencion de riesgos</t>
  </si>
  <si>
    <t>7) Recursos necesarios</t>
  </si>
  <si>
    <t>8) Indicar que fases pueden avanzar…</t>
  </si>
  <si>
    <t>9) Criterios de aceptacion y procedimientos..</t>
  </si>
  <si>
    <t>10) Informe de viabilidad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</si>
</sst>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/>
      <right/>
      <top/>
      <bottom style="thin">
        <color rgb="FFC8C8C8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11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0" fontId="3" fillId="0" borderId="8" xfId="0" applyFont="1" applyBorder="1"/>
    <xf numFmtId="14" fontId="3" fillId="0" borderId="9" xfId="0" applyNumberFormat="1" applyFont="1" applyBorder="1"/>
    <xf numFmtId="0" fontId="3" fillId="0" borderId="9" xfId="0" applyFont="1" applyBorder="1"/>
    <xf numFmtId="9" fontId="3" fillId="0" borderId="9" xfId="0" applyNumberFormat="1" applyFont="1" applyBorder="1"/>
    <xf numFmtId="0" fontId="3" fillId="3" borderId="10" xfId="0" applyFont="1" applyFill="1" applyBorder="1"/>
    <xf numFmtId="0" fontId="3" fillId="0" borderId="12" xfId="0" applyFont="1" applyBorder="1"/>
    <xf numFmtId="14" fontId="3" fillId="0" borderId="13" xfId="0" applyNumberFormat="1" applyFont="1" applyBorder="1"/>
    <xf numFmtId="0" fontId="3" fillId="0" borderId="13" xfId="0" applyFont="1" applyBorder="1"/>
    <xf numFmtId="9" fontId="3" fillId="0" borderId="13" xfId="0" applyNumberFormat="1" applyFont="1" applyBorder="1"/>
    <xf numFmtId="0" fontId="3" fillId="3" borderId="14" xfId="0" applyFont="1" applyFill="1" applyBorder="1"/>
    <xf numFmtId="0" fontId="5" fillId="0" borderId="0" xfId="0" applyFont="1" applyAlignment="1">
      <alignment horizontal="center"/>
    </xf>
    <xf numFmtId="0" fontId="3" fillId="4" borderId="15" xfId="0" applyFont="1" applyFill="1" applyBorder="1" applyAlignment="1"/>
    <xf numFmtId="14" fontId="3" fillId="4" borderId="16" xfId="0" applyNumberFormat="1" applyFont="1" applyFill="1" applyBorder="1" applyAlignment="1"/>
    <xf numFmtId="0" fontId="3" fillId="4" borderId="16" xfId="0" applyFont="1" applyFill="1" applyBorder="1" applyAlignment="1"/>
    <xf numFmtId="9" fontId="3" fillId="4" borderId="16" xfId="0" applyNumberFormat="1" applyFont="1" applyFill="1" applyBorder="1" applyAlignment="1"/>
    <xf numFmtId="0" fontId="3" fillId="4" borderId="17" xfId="0" applyFont="1" applyFill="1" applyBorder="1" applyAlignment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Gantt!$F$13:$F$27</c:f>
              <c:strCache>
                <c:ptCount val="15"/>
                <c:pt idx="0">
                  <c:v>Fase de Análisis</c:v>
                </c:pt>
                <c:pt idx="1">
                  <c:v>Casos de Uso</c:v>
                </c:pt>
                <c:pt idx="2">
                  <c:v>Fase de Diseño</c:v>
                </c:pt>
                <c:pt idx="3">
                  <c:v>Diseño de arquitectura</c:v>
                </c:pt>
                <c:pt idx="4">
                  <c:v>Modelo Entidad/Relación</c:v>
                </c:pt>
                <c:pt idx="5">
                  <c:v>Interfaz gráfica</c:v>
                </c:pt>
                <c:pt idx="6">
                  <c:v>Diagramas de clases </c:v>
                </c:pt>
                <c:pt idx="7">
                  <c:v>Fase de implementación</c:v>
                </c:pt>
                <c:pt idx="8">
                  <c:v>Diagramas de actividad </c:v>
                </c:pt>
                <c:pt idx="9">
                  <c:v>Código Fuente comentado</c:v>
                </c:pt>
                <c:pt idx="10">
                  <c:v>Memoria Técnica </c:v>
                </c:pt>
                <c:pt idx="11">
                  <c:v>Fase de Prueba</c:v>
                </c:pt>
                <c:pt idx="12">
                  <c:v>Plan de Prueba </c:v>
                </c:pt>
                <c:pt idx="13">
                  <c:v>Selección de casos de prueba</c:v>
                </c:pt>
                <c:pt idx="14">
                  <c:v>Registros de resultados </c:v>
                </c:pt>
              </c:strCache>
            </c:strRef>
          </c:cat>
          <c:val>
            <c:numRef>
              <c:f>Gantt!$G$13:$G$27</c:f>
              <c:numCache>
                <c:formatCode>m/d/yyyy</c:formatCode>
                <c:ptCount val="15"/>
                <c:pt idx="0">
                  <c:v>43968</c:v>
                </c:pt>
                <c:pt idx="1">
                  <c:v>43968</c:v>
                </c:pt>
                <c:pt idx="2">
                  <c:v>43969</c:v>
                </c:pt>
                <c:pt idx="3">
                  <c:v>43969</c:v>
                </c:pt>
                <c:pt idx="4">
                  <c:v>43970</c:v>
                </c:pt>
                <c:pt idx="5">
                  <c:v>43971</c:v>
                </c:pt>
                <c:pt idx="6">
                  <c:v>43972</c:v>
                </c:pt>
                <c:pt idx="7">
                  <c:v>43974</c:v>
                </c:pt>
                <c:pt idx="8">
                  <c:v>43974</c:v>
                </c:pt>
                <c:pt idx="9">
                  <c:v>43976</c:v>
                </c:pt>
                <c:pt idx="10">
                  <c:v>43986</c:v>
                </c:pt>
                <c:pt idx="11">
                  <c:v>43987</c:v>
                </c:pt>
                <c:pt idx="12">
                  <c:v>43987</c:v>
                </c:pt>
                <c:pt idx="13">
                  <c:v>43988</c:v>
                </c:pt>
                <c:pt idx="14">
                  <c:v>43989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7-485D-BEF6-59B10F19DBB2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Gantt!$K$13:$K$27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B7-485D-BEF6-59B10F19DBB2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Gantt!$L$13:$L$27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B7-485D-BEF6-59B10F19D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3966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31</xdr:row>
      <xdr:rowOff>118381</xdr:rowOff>
    </xdr:from>
    <xdr:to>
      <xdr:col>25</xdr:col>
      <xdr:colOff>209550</xdr:colOff>
      <xdr:row>63</xdr:row>
      <xdr:rowOff>166687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685800</xdr:colOff>
      <xdr:row>12</xdr:row>
      <xdr:rowOff>76200</xdr:rowOff>
    </xdr:from>
    <xdr:to>
      <xdr:col>18</xdr:col>
      <xdr:colOff>590550</xdr:colOff>
      <xdr:row>16</xdr:row>
      <xdr:rowOff>0</xdr:rowOff>
    </xdr:to>
    <xdr:sp macro="[0]!ejes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"/>
  <sheetViews>
    <sheetView showGridLines="0" workbookViewId="0">
      <selection activeCell="O19" sqref="O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V54"/>
  <sheetViews>
    <sheetView showGridLines="0" tabSelected="1" topLeftCell="A6" zoomScale="55" zoomScaleNormal="55" workbookViewId="0">
      <selection activeCell="F11" sqref="F11"/>
    </sheetView>
  </sheetViews>
  <sheetFormatPr baseColWidth="10" defaultRowHeight="15" x14ac:dyDescent="0.25"/>
  <cols>
    <col min="1" max="1" width="15.28515625" customWidth="1"/>
    <col min="2" max="2" width="20.28515625" customWidth="1"/>
    <col min="3" max="3" width="20.140625" customWidth="1"/>
    <col min="4" max="4" width="18.28515625" bestFit="1" customWidth="1"/>
    <col min="5" max="5" width="24" customWidth="1"/>
    <col min="6" max="6" width="50.85546875" customWidth="1"/>
    <col min="7" max="7" width="23.85546875" customWidth="1"/>
    <col min="8" max="8" width="35.140625" bestFit="1" customWidth="1"/>
    <col min="9" max="9" width="22.5703125" bestFit="1" customWidth="1"/>
    <col min="10" max="10" width="16.5703125" bestFit="1" customWidth="1"/>
    <col min="11" max="11" width="30.85546875" bestFit="1" customWidth="1"/>
    <col min="12" max="12" width="29.140625" bestFit="1" customWidth="1"/>
  </cols>
  <sheetData>
    <row r="1" spans="2:22" s="6" customFormat="1" ht="30" customHeight="1" x14ac:dyDescent="0.25"/>
    <row r="2" spans="2:22" ht="15" customHeight="1" x14ac:dyDescent="0.25"/>
    <row r="3" spans="2:22" ht="15" customHeight="1" x14ac:dyDescent="0.25"/>
    <row r="4" spans="2:22" ht="15" customHeight="1" x14ac:dyDescent="0.25"/>
    <row r="5" spans="2:22" ht="22.5" customHeight="1" x14ac:dyDescent="0.35">
      <c r="B5" s="27" t="s">
        <v>6</v>
      </c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</row>
    <row r="6" spans="2:22" ht="15.75" thickBot="1" x14ac:dyDescent="0.3"/>
    <row r="7" spans="2:22" ht="21.75" thickTop="1" x14ac:dyDescent="0.35">
      <c r="F7" s="9" t="s">
        <v>7</v>
      </c>
      <c r="G7" s="10" t="s">
        <v>0</v>
      </c>
      <c r="H7" s="10" t="s">
        <v>1</v>
      </c>
      <c r="I7" s="10" t="s">
        <v>2</v>
      </c>
      <c r="J7" s="10" t="s">
        <v>3</v>
      </c>
      <c r="K7" s="10" t="s">
        <v>4</v>
      </c>
      <c r="L7" s="11" t="s">
        <v>5</v>
      </c>
      <c r="M7" s="7"/>
      <c r="N7" s="7"/>
      <c r="O7" s="7"/>
      <c r="P7" s="7"/>
      <c r="Q7" s="7"/>
      <c r="R7" s="7"/>
      <c r="S7" s="7"/>
    </row>
    <row r="8" spans="2:22" ht="18.75" x14ac:dyDescent="0.3">
      <c r="F8" s="28" t="s">
        <v>23</v>
      </c>
      <c r="G8" s="29">
        <v>43966</v>
      </c>
      <c r="H8" s="29">
        <f>I8+G8</f>
        <v>43966</v>
      </c>
      <c r="I8" s="30">
        <v>0</v>
      </c>
      <c r="J8" s="31">
        <v>0</v>
      </c>
      <c r="K8" s="30">
        <f>I8*J8</f>
        <v>0</v>
      </c>
      <c r="L8" s="32">
        <f>I8-K8</f>
        <v>0</v>
      </c>
      <c r="M8" s="7"/>
      <c r="N8" s="7"/>
      <c r="O8" s="7"/>
      <c r="P8" s="7"/>
      <c r="Q8" s="7"/>
      <c r="R8" s="7"/>
      <c r="S8" s="7"/>
    </row>
    <row r="9" spans="2:22" ht="18.75" x14ac:dyDescent="0.3">
      <c r="F9" s="28" t="s">
        <v>24</v>
      </c>
      <c r="G9" s="29">
        <f>H8</f>
        <v>43966</v>
      </c>
      <c r="H9" s="29">
        <f>I9+G9</f>
        <v>43966</v>
      </c>
      <c r="I9" s="30">
        <v>0</v>
      </c>
      <c r="J9" s="31">
        <v>0</v>
      </c>
      <c r="K9" s="30">
        <f>I9*J9</f>
        <v>0</v>
      </c>
      <c r="L9" s="32">
        <f>I9-K9</f>
        <v>0</v>
      </c>
      <c r="M9" s="7"/>
      <c r="N9" s="7"/>
      <c r="O9" s="7"/>
      <c r="P9" s="7"/>
      <c r="Q9" s="7"/>
      <c r="R9" s="7"/>
      <c r="S9" s="7"/>
    </row>
    <row r="10" spans="2:22" ht="18.75" x14ac:dyDescent="0.3">
      <c r="F10" s="28" t="s">
        <v>25</v>
      </c>
      <c r="G10" s="29">
        <f t="shared" ref="G10:G27" si="0">H9</f>
        <v>43966</v>
      </c>
      <c r="H10" s="29">
        <f>I10+G10</f>
        <v>43966</v>
      </c>
      <c r="I10" s="30">
        <v>0</v>
      </c>
      <c r="J10" s="31">
        <v>0</v>
      </c>
      <c r="K10" s="30">
        <f>I10*J10</f>
        <v>0</v>
      </c>
      <c r="L10" s="32">
        <f>I10-K10</f>
        <v>0</v>
      </c>
      <c r="M10" s="7"/>
      <c r="N10" s="7"/>
      <c r="O10" s="7"/>
      <c r="P10" s="7"/>
      <c r="Q10" s="7"/>
      <c r="R10" s="7"/>
      <c r="S10" s="7"/>
    </row>
    <row r="11" spans="2:22" ht="18.75" x14ac:dyDescent="0.3">
      <c r="F11" s="28" t="s">
        <v>26</v>
      </c>
      <c r="G11" s="29">
        <f t="shared" si="0"/>
        <v>43966</v>
      </c>
      <c r="H11" s="29">
        <f>I11+G11</f>
        <v>43966</v>
      </c>
      <c r="I11" s="30">
        <v>0</v>
      </c>
      <c r="J11" s="31">
        <v>0</v>
      </c>
      <c r="K11" s="30">
        <f>I11*J11</f>
        <v>0</v>
      </c>
      <c r="L11" s="32">
        <f t="shared" ref="L11:L12" si="1">I11-K11</f>
        <v>0</v>
      </c>
      <c r="M11" s="7"/>
      <c r="N11" s="7"/>
      <c r="O11" s="7"/>
      <c r="P11" s="7"/>
      <c r="Q11" s="7"/>
      <c r="R11" s="7"/>
      <c r="S11" s="7"/>
    </row>
    <row r="12" spans="2:22" ht="18.75" x14ac:dyDescent="0.3">
      <c r="F12" s="28" t="s">
        <v>27</v>
      </c>
      <c r="G12" s="29">
        <f t="shared" si="0"/>
        <v>43966</v>
      </c>
      <c r="H12" s="29">
        <f>I12+G12</f>
        <v>43968</v>
      </c>
      <c r="I12" s="30">
        <v>2</v>
      </c>
      <c r="J12" s="31">
        <v>0</v>
      </c>
      <c r="K12" s="30">
        <f>I12*J12</f>
        <v>0</v>
      </c>
      <c r="L12" s="32">
        <f t="shared" si="1"/>
        <v>2</v>
      </c>
      <c r="M12" s="7"/>
      <c r="N12" s="7"/>
      <c r="O12" s="7"/>
      <c r="P12" s="7"/>
      <c r="Q12" s="7"/>
      <c r="R12" s="7"/>
      <c r="S12" s="7"/>
    </row>
    <row r="13" spans="2:22" ht="18.75" x14ac:dyDescent="0.3">
      <c r="F13" s="12" t="s">
        <v>8</v>
      </c>
      <c r="G13" s="29">
        <f t="shared" si="0"/>
        <v>43968</v>
      </c>
      <c r="H13" s="13">
        <f>I13+G13</f>
        <v>43968</v>
      </c>
      <c r="I13" s="14">
        <v>0</v>
      </c>
      <c r="J13" s="15">
        <v>0</v>
      </c>
      <c r="K13" s="14">
        <f>+I13*J13</f>
        <v>0</v>
      </c>
      <c r="L13" s="16">
        <f>I13-K13</f>
        <v>0</v>
      </c>
      <c r="M13" s="2"/>
      <c r="N13" s="2"/>
      <c r="O13" s="2"/>
      <c r="P13" s="2"/>
      <c r="Q13" s="2"/>
      <c r="R13" s="2"/>
      <c r="S13" s="2"/>
    </row>
    <row r="14" spans="2:22" ht="18.75" x14ac:dyDescent="0.3">
      <c r="F14" s="12" t="s">
        <v>10</v>
      </c>
      <c r="G14" s="29">
        <f t="shared" si="0"/>
        <v>43968</v>
      </c>
      <c r="H14" s="13">
        <f>I14+G14</f>
        <v>43969</v>
      </c>
      <c r="I14" s="14">
        <v>1</v>
      </c>
      <c r="J14" s="15">
        <v>0</v>
      </c>
      <c r="K14" s="14">
        <f t="shared" ref="K14:K27" si="2">+I14*J14</f>
        <v>0</v>
      </c>
      <c r="L14" s="16">
        <f t="shared" ref="L14:L27" si="3">I14-K14</f>
        <v>1</v>
      </c>
      <c r="M14" s="8"/>
      <c r="N14" s="3"/>
      <c r="O14" s="7"/>
      <c r="P14" s="7"/>
      <c r="Q14" s="8"/>
      <c r="R14" s="8"/>
      <c r="S14" s="4"/>
    </row>
    <row r="15" spans="2:22" ht="18.75" x14ac:dyDescent="0.3">
      <c r="F15" s="12" t="s">
        <v>9</v>
      </c>
      <c r="G15" s="29">
        <f t="shared" si="0"/>
        <v>43969</v>
      </c>
      <c r="H15" s="13">
        <f t="shared" ref="H15:H27" si="4">I15+G15</f>
        <v>43969</v>
      </c>
      <c r="I15" s="14">
        <v>0</v>
      </c>
      <c r="J15" s="15">
        <v>0</v>
      </c>
      <c r="K15" s="14">
        <f t="shared" si="2"/>
        <v>0</v>
      </c>
      <c r="L15" s="16">
        <f t="shared" si="3"/>
        <v>0</v>
      </c>
      <c r="M15" s="8"/>
      <c r="N15" s="3"/>
      <c r="O15" s="7"/>
      <c r="P15" s="7"/>
      <c r="Q15" s="8"/>
      <c r="R15" s="8"/>
      <c r="S15" s="4"/>
    </row>
    <row r="16" spans="2:22" ht="18.75" x14ac:dyDescent="0.3">
      <c r="F16" s="12" t="s">
        <v>11</v>
      </c>
      <c r="G16" s="29">
        <f t="shared" si="0"/>
        <v>43969</v>
      </c>
      <c r="H16" s="13">
        <f t="shared" si="4"/>
        <v>43970</v>
      </c>
      <c r="I16" s="14">
        <v>1</v>
      </c>
      <c r="J16" s="15">
        <v>0</v>
      </c>
      <c r="K16" s="14">
        <f t="shared" si="2"/>
        <v>0</v>
      </c>
      <c r="L16" s="16">
        <f t="shared" si="3"/>
        <v>1</v>
      </c>
      <c r="M16" s="5"/>
      <c r="N16" s="5"/>
      <c r="O16" s="5"/>
      <c r="P16" s="5"/>
      <c r="Q16" s="5"/>
      <c r="R16" s="5"/>
      <c r="S16" s="5"/>
    </row>
    <row r="17" spans="6:12" ht="18.75" x14ac:dyDescent="0.3">
      <c r="F17" s="12" t="s">
        <v>12</v>
      </c>
      <c r="G17" s="29">
        <f t="shared" si="0"/>
        <v>43970</v>
      </c>
      <c r="H17" s="13">
        <f t="shared" si="4"/>
        <v>43971</v>
      </c>
      <c r="I17" s="14">
        <v>1</v>
      </c>
      <c r="J17" s="15">
        <v>0</v>
      </c>
      <c r="K17" s="14">
        <f t="shared" si="2"/>
        <v>0</v>
      </c>
      <c r="L17" s="16">
        <f t="shared" si="3"/>
        <v>1</v>
      </c>
    </row>
    <row r="18" spans="6:12" ht="18.75" x14ac:dyDescent="0.3">
      <c r="F18" s="12" t="s">
        <v>13</v>
      </c>
      <c r="G18" s="29">
        <f t="shared" si="0"/>
        <v>43971</v>
      </c>
      <c r="H18" s="13">
        <f t="shared" si="4"/>
        <v>43972</v>
      </c>
      <c r="I18" s="14">
        <v>1</v>
      </c>
      <c r="J18" s="15">
        <v>0</v>
      </c>
      <c r="K18" s="14">
        <f t="shared" si="2"/>
        <v>0</v>
      </c>
      <c r="L18" s="16">
        <f t="shared" si="3"/>
        <v>1</v>
      </c>
    </row>
    <row r="19" spans="6:12" ht="18.75" x14ac:dyDescent="0.3">
      <c r="F19" s="12" t="s">
        <v>14</v>
      </c>
      <c r="G19" s="29">
        <f t="shared" si="0"/>
        <v>43972</v>
      </c>
      <c r="H19" s="13">
        <f t="shared" si="4"/>
        <v>43974</v>
      </c>
      <c r="I19" s="14">
        <v>2</v>
      </c>
      <c r="J19" s="15">
        <v>0</v>
      </c>
      <c r="K19" s="14">
        <f t="shared" si="2"/>
        <v>0</v>
      </c>
      <c r="L19" s="16">
        <f t="shared" si="3"/>
        <v>2</v>
      </c>
    </row>
    <row r="20" spans="6:12" ht="18.75" x14ac:dyDescent="0.3">
      <c r="F20" s="12" t="s">
        <v>15</v>
      </c>
      <c r="G20" s="29">
        <f t="shared" si="0"/>
        <v>43974</v>
      </c>
      <c r="H20" s="13">
        <f t="shared" si="4"/>
        <v>43974</v>
      </c>
      <c r="I20" s="14">
        <v>0</v>
      </c>
      <c r="J20" s="15">
        <v>0</v>
      </c>
      <c r="K20" s="14">
        <f t="shared" si="2"/>
        <v>0</v>
      </c>
      <c r="L20" s="16">
        <f t="shared" si="3"/>
        <v>0</v>
      </c>
    </row>
    <row r="21" spans="6:12" ht="18.75" x14ac:dyDescent="0.3">
      <c r="F21" s="12" t="s">
        <v>16</v>
      </c>
      <c r="G21" s="29">
        <f t="shared" si="0"/>
        <v>43974</v>
      </c>
      <c r="H21" s="13">
        <f t="shared" si="4"/>
        <v>43976</v>
      </c>
      <c r="I21" s="14">
        <v>2</v>
      </c>
      <c r="J21" s="15">
        <v>0</v>
      </c>
      <c r="K21" s="14">
        <f t="shared" si="2"/>
        <v>0</v>
      </c>
      <c r="L21" s="16">
        <f t="shared" si="3"/>
        <v>2</v>
      </c>
    </row>
    <row r="22" spans="6:12" ht="18.75" x14ac:dyDescent="0.3">
      <c r="F22" s="12" t="s">
        <v>17</v>
      </c>
      <c r="G22" s="29">
        <f t="shared" si="0"/>
        <v>43976</v>
      </c>
      <c r="H22" s="13">
        <f t="shared" si="4"/>
        <v>43986</v>
      </c>
      <c r="I22" s="14">
        <v>10</v>
      </c>
      <c r="J22" s="15">
        <v>0</v>
      </c>
      <c r="K22" s="14">
        <f t="shared" si="2"/>
        <v>0</v>
      </c>
      <c r="L22" s="16">
        <f t="shared" si="3"/>
        <v>10</v>
      </c>
    </row>
    <row r="23" spans="6:12" ht="18.75" x14ac:dyDescent="0.3">
      <c r="F23" s="12" t="s">
        <v>18</v>
      </c>
      <c r="G23" s="29">
        <f t="shared" si="0"/>
        <v>43986</v>
      </c>
      <c r="H23" s="13">
        <f t="shared" si="4"/>
        <v>43987</v>
      </c>
      <c r="I23" s="14">
        <v>1</v>
      </c>
      <c r="J23" s="15">
        <v>0</v>
      </c>
      <c r="K23" s="14">
        <f t="shared" si="2"/>
        <v>0</v>
      </c>
      <c r="L23" s="16">
        <f t="shared" si="3"/>
        <v>1</v>
      </c>
    </row>
    <row r="24" spans="6:12" ht="18.75" x14ac:dyDescent="0.3">
      <c r="F24" s="12" t="s">
        <v>19</v>
      </c>
      <c r="G24" s="29">
        <f t="shared" si="0"/>
        <v>43987</v>
      </c>
      <c r="H24" s="13">
        <f t="shared" si="4"/>
        <v>43987</v>
      </c>
      <c r="I24" s="14">
        <v>0</v>
      </c>
      <c r="J24" s="15">
        <v>0</v>
      </c>
      <c r="K24" s="14">
        <f t="shared" si="2"/>
        <v>0</v>
      </c>
      <c r="L24" s="16">
        <f t="shared" si="3"/>
        <v>0</v>
      </c>
    </row>
    <row r="25" spans="6:12" ht="18.75" x14ac:dyDescent="0.3">
      <c r="F25" s="12" t="s">
        <v>20</v>
      </c>
      <c r="G25" s="29">
        <f t="shared" si="0"/>
        <v>43987</v>
      </c>
      <c r="H25" s="13">
        <f t="shared" si="4"/>
        <v>43988</v>
      </c>
      <c r="I25" s="14">
        <v>1</v>
      </c>
      <c r="J25" s="15">
        <v>0</v>
      </c>
      <c r="K25" s="14">
        <f t="shared" si="2"/>
        <v>0</v>
      </c>
      <c r="L25" s="16">
        <f t="shared" si="3"/>
        <v>1</v>
      </c>
    </row>
    <row r="26" spans="6:12" ht="18.75" x14ac:dyDescent="0.3">
      <c r="F26" s="22" t="s">
        <v>21</v>
      </c>
      <c r="G26" s="29">
        <f t="shared" si="0"/>
        <v>43988</v>
      </c>
      <c r="H26" s="23">
        <f>I26+G26</f>
        <v>43989</v>
      </c>
      <c r="I26" s="24">
        <v>1</v>
      </c>
      <c r="J26" s="25">
        <v>0</v>
      </c>
      <c r="K26" s="24">
        <f t="shared" si="2"/>
        <v>0</v>
      </c>
      <c r="L26" s="26">
        <f t="shared" si="3"/>
        <v>1</v>
      </c>
    </row>
    <row r="27" spans="6:12" ht="19.5" thickBot="1" x14ac:dyDescent="0.35">
      <c r="F27" s="17" t="s">
        <v>22</v>
      </c>
      <c r="G27" s="29">
        <f t="shared" si="0"/>
        <v>43989</v>
      </c>
      <c r="H27" s="18">
        <f t="shared" si="4"/>
        <v>43990</v>
      </c>
      <c r="I27" s="19">
        <v>1</v>
      </c>
      <c r="J27" s="20">
        <v>0</v>
      </c>
      <c r="K27" s="19">
        <f t="shared" si="2"/>
        <v>0</v>
      </c>
      <c r="L27" s="21">
        <f t="shared" si="3"/>
        <v>1</v>
      </c>
    </row>
    <row r="28" spans="6:12" ht="15.75" thickTop="1" x14ac:dyDescent="0.25"/>
    <row r="53" s="1" customFormat="1" x14ac:dyDescent="0.25"/>
    <row r="54" s="1" customFormat="1" x14ac:dyDescent="0.25"/>
  </sheetData>
  <mergeCells count="1">
    <mergeCell ref="B5:V5"/>
  </mergeCells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julen martin</cp:lastModifiedBy>
  <dcterms:created xsi:type="dcterms:W3CDTF">2015-09-23T21:27:23Z</dcterms:created>
  <dcterms:modified xsi:type="dcterms:W3CDTF">2020-05-14T09:06:12Z</dcterms:modified>
</cp:coreProperties>
</file>